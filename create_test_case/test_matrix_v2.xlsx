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utomation\Vibe_Coding\create_test_case\"/>
    </mc:Choice>
  </mc:AlternateContent>
  <xr:revisionPtr revIDLastSave="0" documentId="13_ncr:1_{037CB45D-0B37-495A-A673-7FD2F79EE0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Bud Mode &amp; Blooming Flow" sheetId="2" r:id="rId2"/>
    <sheet name="Caterpillar Mode" sheetId="3" r:id="rId3"/>
    <sheet name="Transformation Flow" sheetId="4" r:id="rId4"/>
    <sheet name="Butterfly Mo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F4" i="1"/>
  <c r="E4" i="1"/>
  <c r="D4" i="1"/>
  <c r="C4" i="1"/>
  <c r="F3" i="1"/>
  <c r="E3" i="1"/>
  <c r="D3" i="1"/>
  <c r="C3" i="1"/>
  <c r="F2" i="1"/>
  <c r="F6" i="1" s="1"/>
  <c r="E2" i="1"/>
  <c r="E6" i="1" s="1"/>
  <c r="D2" i="1"/>
  <c r="D6" i="1" s="1"/>
  <c r="C2" i="1"/>
  <c r="C6" i="1" s="1"/>
</calcChain>
</file>

<file path=xl/sharedStrings.xml><?xml version="1.0" encoding="utf-8"?>
<sst xmlns="http://schemas.openxmlformats.org/spreadsheetml/2006/main" count="299" uniqueCount="257">
  <si>
    <t>Mode</t>
  </si>
  <si>
    <t>Total</t>
  </si>
  <si>
    <t>Executed</t>
  </si>
  <si>
    <t>Passed</t>
  </si>
  <si>
    <t>Failed</t>
  </si>
  <si>
    <t>Skipped</t>
  </si>
  <si>
    <t>Bud Mode &amp; Blooming Flow</t>
  </si>
  <si>
    <t>Caterpillar Mode</t>
  </si>
  <si>
    <t>Transformation Flow</t>
  </si>
  <si>
    <t>Butterfly Mode</t>
  </si>
  <si>
    <t>TOTAL</t>
  </si>
  <si>
    <t>Test ID</t>
  </si>
  <si>
    <t>Test Description</t>
  </si>
  <si>
    <t>Expected Result</t>
  </si>
  <si>
    <t>Results
(Passed/Failed/Skipped)</t>
  </si>
  <si>
    <t>Comment</t>
  </si>
  <si>
    <t>Internal Bug ID</t>
  </si>
  <si>
    <t>External Bug ID</t>
  </si>
  <si>
    <t>Happy Path</t>
  </si>
  <si>
    <t>Power on with Bloomed Flag NOT set enters STAJING state</t>
  </si>
  <si>
    <t>Device enters STAJING state and transitions to Blooming Flow</t>
  </si>
  <si>
    <t>Power on with Bloomed Flag SET and Butterfly Mode triggers BUTTWAKEXX</t>
  </si>
  <si>
    <t>BUTTWAKEXX audio plays; device enters Butterfly Mode</t>
  </si>
  <si>
    <t>Power on with Bloomed Flag SET and Caterpillar Mode with petals closed triggers REVEAL then CATWAKEXK</t>
  </si>
  <si>
    <t>REVEAL and CATWAKEXK audio plays; petals open</t>
  </si>
  <si>
    <t>Power on with Bloomed Flag SET and Caterpillar Mode with petals open triggers CATWAKEXK</t>
  </si>
  <si>
    <t>CATWAKEXK audio plays; device enters Caterpillar Mode</t>
  </si>
  <si>
    <t>Power on with Head Button held triggers low volume set STAJING</t>
  </si>
  <si>
    <t>Low volume set STAJING audio plays</t>
  </si>
  <si>
    <t>Watering button press starts WATERST audio</t>
  </si>
  <si>
    <t>WATERST audio starts playing when Watering Button is pressed</t>
  </si>
  <si>
    <t>WATERST audio plays completely while Watering Button is held</t>
  </si>
  <si>
    <t>WATERST audio continues playing without interruption</t>
  </si>
  <si>
    <t>WATEREND triggers with correct count on button release</t>
  </si>
  <si>
    <t>WATEREND triggers with x value equal to current water count</t>
  </si>
  <si>
    <t>First water (Count 0 to 1) triggers OHWATxx</t>
  </si>
  <si>
    <t>OHWATxx audio plays after first watering</t>
  </si>
  <si>
    <t>Second water (Count 1 to 2) triggers CONTWATxx</t>
  </si>
  <si>
    <t>CONTWATxx audio plays after second watering</t>
  </si>
  <si>
    <t>Third water (Count 2 to 3) triggers bloom sequence</t>
  </si>
  <si>
    <t>PLING/WAKEUP/REVEAL antenna lights up; YEAH HATCHIB plays</t>
  </si>
  <si>
    <t>Bloom sequence sets Bloomed Flag to true</t>
  </si>
  <si>
    <t>Bloomed Flag is set after third watering completes</t>
  </si>
  <si>
    <t>Bloom sequence transitions device to Caterpillar Mode</t>
  </si>
  <si>
    <t>Device state changes from Blooming Flow to Caterpillar Mode</t>
  </si>
  <si>
    <t>Power on from Sleep Mode wakes device</t>
  </si>
  <si>
    <t>Device wakes and enters Power On sequence</t>
  </si>
  <si>
    <t>Power on with no Bud Base present completes normally</t>
  </si>
  <si>
    <t>Normal power on sequence completes without Bud Base interference</t>
  </si>
  <si>
    <t>Negative Input</t>
  </si>
  <si>
    <t>Press Head Button during WATERST animation</t>
  </si>
  <si>
    <t>WATERST continues playing; Head Button press ignored [TBD]</t>
  </si>
  <si>
    <t>Press Mouth Button during WATERST animation</t>
  </si>
  <si>
    <t>WATERST continues playing; Mouth Button press ignored [TBD]</t>
  </si>
  <si>
    <t>Power cycle during WATERST animation</t>
  </si>
  <si>
    <t>Device resets; WATERST stops; state unclear [TBD]</t>
  </si>
  <si>
    <t>Press all buttons simultaneously during blooming</t>
  </si>
  <si>
    <t>Priority handling unclear; expected behavior [TBD]</t>
  </si>
  <si>
    <t>Remove from Bud Base during WATERST animation</t>
  </si>
  <si>
    <t>WATERST continues; base removal ignored during watering [TBD]</t>
  </si>
  <si>
    <t>Press Watering Button during BUDIOLEXX playback</t>
  </si>
  <si>
    <t>BUDIOLEXX interrupted; WATERST starts [TBD]</t>
  </si>
  <si>
    <t>Press Watering Button during BUDSLEEP playback</t>
  </si>
  <si>
    <t>BUDSLEEP continues; Watering Button press ignored [TBD]</t>
  </si>
  <si>
    <t>Rapid water button presses (multiple quick presses)</t>
  </si>
  <si>
    <t>Only first press registered; count increments correctly [TBD]</t>
  </si>
  <si>
    <t>Boundary &amp; Counter</t>
  </si>
  <si>
    <t>Water Count stays at 0 before first water complete</t>
  </si>
  <si>
    <t>Water Count value is 0 before any watering cycle completes</t>
  </si>
  <si>
    <t>Water Count increments to 1 after first water</t>
  </si>
  <si>
    <t>Water Count value changes from 0 to 1</t>
  </si>
  <si>
    <t>Water Count increments to 2 after second water</t>
  </si>
  <si>
    <t>Water Count value changes from 1 to 2</t>
  </si>
  <si>
    <t>Water Count increments to 3 after third water</t>
  </si>
  <si>
    <t>Water Count value changes from 2 to 3</t>
  </si>
  <si>
    <t>Water Count resets after bloom completion</t>
  </si>
  <si>
    <t>Water Count resets to 0 after bloom sequence completes</t>
  </si>
  <si>
    <t>Watering Button released before WATERST file finishes</t>
  </si>
  <si>
    <t>WATEREND triggers with current count; file stops</t>
  </si>
  <si>
    <t>Timeouts &amp; States</t>
  </si>
  <si>
    <t>8 to 10 second idle timeout triggers BUDIOLEXX</t>
  </si>
  <si>
    <t>BUDIOLEXX audio plays after 8-10 seconds of inactivity</t>
  </si>
  <si>
    <t>30 second idle timeout triggers BUDSLEEP</t>
  </si>
  <si>
    <t>BUDSLEEP audio plays and device enters Sleep Mode</t>
  </si>
  <si>
    <t>BUDIOLEXX plays only once per timeout period</t>
  </si>
  <si>
    <t>BUDIOLEXX does not repeat until next timeout cycle</t>
  </si>
  <si>
    <t>BUDSLEEP transitions device to Sleep Mode state</t>
  </si>
  <si>
    <t>Device state changes to Sleep Mode after BUDSLEEP completes</t>
  </si>
  <si>
    <t>Head Button single press triggers CATCUDxx</t>
  </si>
  <si>
    <t>CATCUDxx audio plays when Head Button is pressed once</t>
  </si>
  <si>
    <t>Two short Head Button touches triggers CATTICKxx</t>
  </si>
  <si>
    <t>CATTICKxx audio plays after 2 quick Head Button touches</t>
  </si>
  <si>
    <t>Four short Head Button touches triggers CATBIGLAFxx</t>
  </si>
  <si>
    <t>CATBIGLAFxx audio plays after 4 quick Head Button touches</t>
  </si>
  <si>
    <t>Six short Head Button touches triggers ILOVEYOU</t>
  </si>
  <si>
    <t>ILOVEYOU audio plays after 6 quick Head Button touches</t>
  </si>
  <si>
    <t>Mouth Button short press (less than 0.5 sec) triggers CHOMPxx</t>
  </si>
  <si>
    <t>CHOMPxx audio plays for short Mouth Button press</t>
  </si>
  <si>
    <t>Mouth Button long press (0.5 sec or more) triggers MUNCHKxx</t>
  </si>
  <si>
    <t>MUNCHKxx audio plays when Mouth Button held for 0.5 sec or more</t>
  </si>
  <si>
    <t>Mouth Button fed 3 times triggers CATWIND</t>
  </si>
  <si>
    <t>CATWIND audio plays after third consecutive Mouth Button feed</t>
  </si>
  <si>
    <t>Watering Button press triggers WATERFX and CATWATxx</t>
  </si>
  <si>
    <t>WATERFX and CATWATxx audio plays when Watering Button is pressed</t>
  </si>
  <si>
    <t>Remove from Bud Base triggers CATO08B</t>
  </si>
  <si>
    <t>CATO08B audio plays when device removed from Bud Base</t>
  </si>
  <si>
    <t>Place into Bud Base triggers CATINBB</t>
  </si>
  <si>
    <t>CATINBB audio plays when device placed into Bud Base</t>
  </si>
  <si>
    <t>7 interactions reached triggers state change to READY</t>
  </si>
  <si>
    <t>Device state changes from Caterpillar Mode to READY for Transformation</t>
  </si>
  <si>
    <t>Interaction Count increments on each valid interaction</t>
  </si>
  <si>
    <t>Interaction Count increases by 1 after each button interaction</t>
  </si>
  <si>
    <t>Press Head Button during CATCUDxx playback</t>
  </si>
  <si>
    <t>CATCUDxx continues; Head Button press ignored [TBD]</t>
  </si>
  <si>
    <t>Press Mouth Button during CATCUDxx playback</t>
  </si>
  <si>
    <t>CATCUDxx continues; Mouth Button press ignored [TBD]</t>
  </si>
  <si>
    <t>Press Watering Button during CATCUDxx playback</t>
  </si>
  <si>
    <t>CATCUDxx continues; Watering Button press ignored [TBD]</t>
  </si>
  <si>
    <t>Power cycle during CATWAKEXK animation</t>
  </si>
  <si>
    <t>Device resets; animation stops; state unclear [TBD]</t>
  </si>
  <si>
    <t>Press all buttons simultaneously in Caterpillar Mode</t>
  </si>
  <si>
    <t>Remove from Bud Base during animation</t>
  </si>
  <si>
    <t>Animation continues; base removal ignored [TBD]</t>
  </si>
  <si>
    <t>Place into Bud Base during animation</t>
  </si>
  <si>
    <t>Animation continues; base insertion ignored [TBD]</t>
  </si>
  <si>
    <t>Rapid Head Button presses (more than 2 per sequence)</t>
  </si>
  <si>
    <t>Only 2 touches registered per sequence; extra ignored [TBD]</t>
  </si>
  <si>
    <t>Interaction Count starts at 0</t>
  </si>
  <si>
    <t>Interaction Count value is 0 when entering Caterpillar Mode</t>
  </si>
  <si>
    <t>Interaction Count increments to 1 after first interaction</t>
  </si>
  <si>
    <t>Interaction Count value changes from 0 to 1</t>
  </si>
  <si>
    <t>Interaction Count increments to 6 after sixth interaction</t>
  </si>
  <si>
    <t>Interaction Count value changes from 5 to 6</t>
  </si>
  <si>
    <t>Interaction Count reaches 7 triggers READY state</t>
  </si>
  <si>
    <t>Device state changes when Interaction Count equals 7</t>
  </si>
  <si>
    <t>Two short touches within 0.5 sec triggers CATTICKxx</t>
  </si>
  <si>
    <t>CATTICKxx plays only if touches are within 0.5 sec window</t>
  </si>
  <si>
    <t>Two short touches more than 0.5 sec apart resets sequence</t>
  </si>
  <si>
    <t>Touch sequence resets; Interaction Count increments</t>
  </si>
  <si>
    <t>Mouth Button fed 2 times does not trigger CATWIND</t>
  </si>
  <si>
    <t>CATWIND does not play until third feed</t>
  </si>
  <si>
    <t>CATBIGLAFxx plays only after exactly 4 short touches</t>
  </si>
  <si>
    <t>CATBIGLAFxx does not play with 2 or 6 touches</t>
  </si>
  <si>
    <t>8 to 10 second inactivity timeout triggers CATIDLEX</t>
  </si>
  <si>
    <t>CATIDLEX audio plays after 8-10 seconds of inactivity</t>
  </si>
  <si>
    <t>30 second inactivity timeout triggers BUDSLEEP</t>
  </si>
  <si>
    <t>CATIDLEX plays only once per timeout period</t>
  </si>
  <si>
    <t>CATIDLEX does not repeat until next timeout cycle</t>
  </si>
  <si>
    <t>4 to 5 second timeout triggers NEEDBUD and READY</t>
  </si>
  <si>
    <t>NEEDBUD and READY audio plays after 4-5 second timeout</t>
  </si>
  <si>
    <t>Place into Bud Base triggers READGIGG</t>
  </si>
  <si>
    <t>READGIGG audio plays when device placed into Bud Base</t>
  </si>
  <si>
    <t>Release Faceplate lock switch triggers POLOSE and TRANSFORM</t>
  </si>
  <si>
    <t>POLOSE audio plays; petals close; TRANSFORM begins</t>
  </si>
  <si>
    <t>TRANSFORM completion triggers TRANDONExx</t>
  </si>
  <si>
    <t>TRANDONExx audio plays when TRANSFORM finishes</t>
  </si>
  <si>
    <t>8 second timeout after TRANDONE triggers STILLHERE</t>
  </si>
  <si>
    <t>STILLHERE audio plays; device enters Butterfly Mode</t>
  </si>
  <si>
    <t>Remove from Base after TRANDONE (1st time) triggers BUTTHELLOxx</t>
  </si>
  <si>
    <t>BUTTHELLOxx audio plays; device enters Butterfly Mode</t>
  </si>
  <si>
    <t>Remove from Base after TRANDONE (not 1st time) triggers MEAGAINxx</t>
  </si>
  <si>
    <t>MEAGAINxx audio plays; device enters Butterfly Mode</t>
  </si>
  <si>
    <t>NEEDUNLOCK audio plays 2 seconds after READGIGG</t>
  </si>
  <si>
    <t>NEEDUNLOCK audio plays to prompt faceplate unlock</t>
  </si>
  <si>
    <t>Press Watering Button during TRANSFORM</t>
  </si>
  <si>
    <t>TRANSWATxx audio plays; TRANSFORM continues [TBD]</t>
  </si>
  <si>
    <t>Power cycle during TRANSFORM animation</t>
  </si>
  <si>
    <t>Device resets; TRANSFORM stops; state unclear [TBD]</t>
  </si>
  <si>
    <t>Press Head Button during TRANSFORM</t>
  </si>
  <si>
    <t>TRANSFORM continues; Head Button press ignored [TBD]</t>
  </si>
  <si>
    <t>Press Mouth Button during TRANSFORM</t>
  </si>
  <si>
    <t>TRANSFORM continues; Mouth Button press ignored [TBD]</t>
  </si>
  <si>
    <t>Remove from Base during TRANSFORM</t>
  </si>
  <si>
    <t>TRANSFORM continues; base removal ignored [TBD]</t>
  </si>
  <si>
    <t>NEEDUNLOCK triggers at exactly 2 second timeout</t>
  </si>
  <si>
    <t>NEEDUNLOCK plays after exactly 2 seconds in Bud Base</t>
  </si>
  <si>
    <t>CATSLEEP triggers at exactly 20 second timeout</t>
  </si>
  <si>
    <t>CATSLEEP plays after exactly 20 seconds of inactivity</t>
  </si>
  <si>
    <t>NEEDBUD triggers at exactly 4 to 5 second timeout</t>
  </si>
  <si>
    <t>NEEDBUD plays after exactly 4-5 seconds of inactivity</t>
  </si>
  <si>
    <t>1st transform detection works correctly</t>
  </si>
  <si>
    <t>Device correctly identifies first transformation</t>
  </si>
  <si>
    <t>Repeat transform detection works correctly</t>
  </si>
  <si>
    <t>Device correctly identifies subsequent transformations</t>
  </si>
  <si>
    <t>20 second timeout in Bud Base triggers CATSLEEP</t>
  </si>
  <si>
    <t>CATSLEEP audio plays and device enters Sleep Mode</t>
  </si>
  <si>
    <t>20 second timeout outside Bud Base triggers CATSLEEP</t>
  </si>
  <si>
    <t>8 second timeout after TRANDONE transitions to Butterfly Mode</t>
  </si>
  <si>
    <t>Device state changes to Butterfly Mode after STILLHERE</t>
  </si>
  <si>
    <t>Interrupts &amp; Exceptions</t>
  </si>
  <si>
    <t>Watering Button press during TRANSFORM triggers TRANSWATxx</t>
  </si>
  <si>
    <t>TRANSWATxx audio plays when Watering Button pressed during TRANSFORM</t>
  </si>
  <si>
    <t>Low battery during transformation handling</t>
  </si>
  <si>
    <t>Low battery behavior during transformation unclear [TBD]</t>
  </si>
  <si>
    <t>Remove from Base during TRANSFORM interrupts sequence</t>
  </si>
  <si>
    <t>Head and Watering Button held 3 seconds triggers global interrupt</t>
  </si>
  <si>
    <t>PELOSE and SMMIKE audio plays; petals close; enters Blooming Flow</t>
  </si>
  <si>
    <t>Mouth Button press in Bud Base triggers DIVA sequence</t>
  </si>
  <si>
    <t>DIVA audio plays when Mouth Button pressed in Bud Base</t>
  </si>
  <si>
    <t>Head Button held during DIVA plays audio in fast mode</t>
  </si>
  <si>
    <t>DIVA audio plays faster while Head Button is held</t>
  </si>
  <si>
    <t>Mouth Button held during DIVA plays audio in slow mode</t>
  </si>
  <si>
    <t>DIVA audio plays slower while Mouth Button is held</t>
  </si>
  <si>
    <t>DIVA completion triggers CHEER OHISAHO</t>
  </si>
  <si>
    <t>CHEER OHISAHO audio plays after DIVA finishes</t>
  </si>
  <si>
    <t>Mouth Button press out of Bud Base plays random NOTEes</t>
  </si>
  <si>
    <t>Random NOTE audio file plays when Mouth Button pressed out of Bud Base</t>
  </si>
  <si>
    <t>Mouth Button release before NOTE file finishes stops audio</t>
  </si>
  <si>
    <t>NOTE audio stops or fades out when Mouth Button released</t>
  </si>
  <si>
    <t>Head Button press in Bud Base triggers BEATBOX</t>
  </si>
  <si>
    <t>BEATBOX audio plays when Head Button pressed in Bud Base</t>
  </si>
  <si>
    <t>Head Button held at BEATBOX end loops BEATBOX</t>
  </si>
  <si>
    <t>BEATBOX audio loops while Head Button is held</t>
  </si>
  <si>
    <t>Head Button press out of Bud Base triggers BUTTRAT</t>
  </si>
  <si>
    <t>BUTTRAT audio plays when Head Button pressed out of Bud Base</t>
  </si>
  <si>
    <t>Two short Head Button touches triggers BUTTTICK</t>
  </si>
  <si>
    <t>BUTTTICK audio plays after 2 quick Head Button touches</t>
  </si>
  <si>
    <t>Four short Head Button touches triggers TOOTICK</t>
  </si>
  <si>
    <t>TOOTICK audio plays after 4 quick Head Button touches</t>
  </si>
  <si>
    <t>Press Watering Button during DIVA playback</t>
  </si>
  <si>
    <t>DIVA continues; Watering Button press ignored [TBD]</t>
  </si>
  <si>
    <t>Press Head Button during NOTE playback</t>
  </si>
  <si>
    <t>NOTE continues; Head Button press ignored [TBD]</t>
  </si>
  <si>
    <t>Press Mouth Button during BEATBOX playback</t>
  </si>
  <si>
    <t>BEATBOX continues; Mouth Button press ignored [TBD]</t>
  </si>
  <si>
    <t>Power cycle during BUTTRAT animation</t>
  </si>
  <si>
    <t>Press all buttons simultaneously in Butterfly Mode</t>
  </si>
  <si>
    <t>Remove from Bud Base during DIVA playback</t>
  </si>
  <si>
    <t>DIVA continues; base removal ignored [TBD]</t>
  </si>
  <si>
    <t>Place into Bud Base during BUTTRAT playback</t>
  </si>
  <si>
    <t>BUTTRAT continues; base insertion ignored [TBD]</t>
  </si>
  <si>
    <t>Rapid Mouth Button presses (multiple quick presses)</t>
  </si>
  <si>
    <t>Only first press registered; random NOTE plays once [TBD]</t>
  </si>
  <si>
    <t>Six short Head Button touches triggers KISS</t>
  </si>
  <si>
    <t>KISS audio plays after 6 quick Head Button touches</t>
  </si>
  <si>
    <t>Sequential NOTE files play in correct order</t>
  </si>
  <si>
    <t>NOTE files play sequentially on each key press</t>
  </si>
  <si>
    <t>New random NOTE selected after X seconds of inactivity</t>
  </si>
  <si>
    <t>New random NOTE file selected after timeout period</t>
  </si>
  <si>
    <t>DIVA speed adjustment works correctly in fast mode</t>
  </si>
  <si>
    <t>DIVA audio plays at increased speed</t>
  </si>
  <si>
    <t>DIVA speed adjustment works correctly in slow mode</t>
  </si>
  <si>
    <t>DIVA audio plays at decreased speed</t>
  </si>
  <si>
    <t>BEATBOX loop continues until Head Button released</t>
  </si>
  <si>
    <t>BEATBOX loops continuously while Head Button is held</t>
  </si>
  <si>
    <t>10 second inactivity timeout triggers BUTTICE</t>
  </si>
  <si>
    <t>BUTTICE audio plays after 10 seconds of inactivity</t>
  </si>
  <si>
    <t>30 second inactivity timeout triggers BUTTSLEEP</t>
  </si>
  <si>
    <t>BUTTSLEEP audio plays and device enters Sleep Mode</t>
  </si>
  <si>
    <t>BUTTSLEEP transitions device to Sleep Mode state</t>
  </si>
  <si>
    <t>Device state changes to Sleep Mode after BUTTSLEEP completes</t>
  </si>
  <si>
    <t>Head and Watering held 3 seconds with low battery flashes LED red 3 times</t>
  </si>
  <si>
    <t>LED flashes red 3 times; no mode change</t>
  </si>
  <si>
    <t>Head and Watering held 3 seconds with normal battery triggers interrupt</t>
  </si>
  <si>
    <t>PELOSE and SMMIKE plays; petals close; enters Blooming Flow</t>
  </si>
  <si>
    <t>Low battery during Butterfly Mode interactions</t>
  </si>
  <si>
    <t>Low battery behavior unclear [TBD]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</si>
</sst>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006100"/>
      <name val="Calibri"/>
    </font>
    <font>
      <b/>
      <sz val="10"/>
      <color rgb="FF9C0006"/>
      <name val="Calibri"/>
    </font>
    <font>
      <b/>
      <sz val="10"/>
      <color rgb="FF9C6500"/>
      <name val="Calibri"/>
    </font>
    <font>
      <b/>
      <sz val="10"/>
      <color rgb="FF1F4E79"/>
      <name val="Calibri"/>
    </font>
    <font>
      <b/>
      <sz val="10"/>
      <color rgb="FF7030A0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BDD7EE"/>
        <bgColor rgb="FFBDD7EE"/>
      </patternFill>
    </fill>
    <fill>
      <patternFill patternType="solid">
        <fgColor rgb="FFD9D2E9"/>
        <bgColor rgb="FFD9D2E9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28" customWidth="1"/>
    <col min="2" max="6" width="14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 x14ac:dyDescent="0.25">
      <c r="A2" s="2" t="s">
        <v>6</v>
      </c>
      <c r="B2" s="3">
        <v>33</v>
      </c>
      <c r="C2" s="4">
        <f>COUNTIF('Bud Mode &amp; Blooming Flow'!D:D,"&lt;&gt;")</f>
        <v>1</v>
      </c>
      <c r="D2" s="4">
        <f>COUNTIF('Bud Mode &amp; Blooming Flow'!D:D,"Passed")</f>
        <v>0</v>
      </c>
      <c r="E2" s="4">
        <f>COUNTIF('Bud Mode &amp; Blooming Flow'!D:D,"Failed")</f>
        <v>0</v>
      </c>
      <c r="F2" s="4">
        <f>COUNTIF('Bud Mode &amp; Blooming Flow'!D:D,"Skipped")</f>
        <v>0</v>
      </c>
    </row>
    <row r="3" spans="1:6" ht="21.95" customHeight="1" x14ac:dyDescent="0.25">
      <c r="A3" s="2" t="s">
        <v>7</v>
      </c>
      <c r="B3" s="3">
        <v>32</v>
      </c>
      <c r="C3" s="4">
        <f>COUNTIF('Caterpillar Mode'!D:D,"&lt;&gt;")</f>
        <v>1</v>
      </c>
      <c r="D3" s="4">
        <f>COUNTIF('Caterpillar Mode'!D:D,"Passed")</f>
        <v>0</v>
      </c>
      <c r="E3" s="4">
        <f>COUNTIF('Caterpillar Mode'!D:D,"Failed")</f>
        <v>0</v>
      </c>
      <c r="F3" s="4">
        <f>COUNTIF('Caterpillar Mode'!D:D,"Skipped")</f>
        <v>0</v>
      </c>
    </row>
    <row r="4" spans="1:6" ht="21.95" customHeight="1" x14ac:dyDescent="0.25">
      <c r="A4" s="2" t="s">
        <v>8</v>
      </c>
      <c r="B4" s="3">
        <v>24</v>
      </c>
      <c r="C4" s="4">
        <f>COUNTIF('Transformation Flow'!D:D,"&lt;&gt;")</f>
        <v>1</v>
      </c>
      <c r="D4" s="4">
        <f>COUNTIF('Transformation Flow'!D:D,"Passed")</f>
        <v>0</v>
      </c>
      <c r="E4" s="4">
        <f>COUNTIF('Transformation Flow'!D:D,"Failed")</f>
        <v>0</v>
      </c>
      <c r="F4" s="4">
        <f>COUNTIF('Transformation Flow'!D:D,"Skipped")</f>
        <v>0</v>
      </c>
    </row>
    <row r="5" spans="1:6" ht="21.95" customHeight="1" x14ac:dyDescent="0.25">
      <c r="A5" s="2" t="s">
        <v>9</v>
      </c>
      <c r="B5" s="3">
        <v>32</v>
      </c>
      <c r="C5" s="4">
        <f>COUNTIF('Butterfly Mode'!D:D,"&lt;&gt;")</f>
        <v>1</v>
      </c>
      <c r="D5" s="4">
        <f>COUNTIF('Butterfly Mode'!D:D,"Passed")</f>
        <v>0</v>
      </c>
      <c r="E5" s="4">
        <f>COUNTIF('Butterfly Mode'!D:D,"Failed")</f>
        <v>0</v>
      </c>
      <c r="F5" s="4">
        <f>COUNTIF('Butterfly Mode'!D:D,"Skipped")</f>
        <v>0</v>
      </c>
    </row>
    <row r="6" spans="1:6" ht="24.95" customHeight="1" x14ac:dyDescent="0.25">
      <c r="A6" s="5" t="s">
        <v>10</v>
      </c>
      <c r="B6" s="6">
        <v>121</v>
      </c>
      <c r="C6" s="6">
        <f>SUM(C2:C5)</f>
        <v>4</v>
      </c>
      <c r="D6" s="6">
        <f>SUM(D2:D5)</f>
        <v>0</v>
      </c>
      <c r="E6" s="6">
        <f>SUM(E2:E5)</f>
        <v>0</v>
      </c>
      <c r="F6" s="6">
        <f>SUM(F2:F5)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0" customWidth="1"/>
    <col min="2" max="3" width="50" customWidth="1"/>
    <col min="4" max="4" width="27.140625" customWidth="1"/>
    <col min="5" max="5" width="25" customWidth="1"/>
    <col min="6" max="7" width="18" customWidth="1"/>
  </cols>
  <sheetData>
    <row r="1" spans="1:7" ht="35.1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21.95" customHeight="1" x14ac:dyDescent="0.25">
      <c r="A2" s="15" t="s">
        <v>18</v>
      </c>
      <c r="B2" s="13"/>
      <c r="C2" s="13"/>
      <c r="D2" s="13"/>
      <c r="E2" s="13"/>
      <c r="F2" s="13"/>
      <c r="G2" s="14"/>
    </row>
    <row r="3" spans="1:7" ht="35.1" customHeight="1" x14ac:dyDescent="0.25">
      <c r="A3" s="7">
        <v>1</v>
      </c>
      <c r="B3" s="7" t="s">
        <v>19</v>
      </c>
      <c r="C3" s="7" t="s">
        <v>20</v>
      </c>
      <c r="D3" s="7"/>
      <c r="E3" s="7"/>
      <c r="F3" s="7"/>
      <c r="G3" s="7"/>
    </row>
    <row r="4" spans="1:7" ht="35.1" customHeight="1" x14ac:dyDescent="0.25">
      <c r="A4" s="7">
        <v>2</v>
      </c>
      <c r="B4" s="7" t="s">
        <v>21</v>
      </c>
      <c r="C4" s="7" t="s">
        <v>22</v>
      </c>
      <c r="D4" s="7"/>
      <c r="E4" s="7"/>
      <c r="F4" s="7"/>
      <c r="G4" s="7"/>
    </row>
    <row r="5" spans="1:7" ht="35.1" customHeight="1" x14ac:dyDescent="0.25">
      <c r="A5" s="7">
        <v>3</v>
      </c>
      <c r="B5" s="7" t="s">
        <v>23</v>
      </c>
      <c r="C5" s="7" t="s">
        <v>24</v>
      </c>
      <c r="D5" s="7"/>
      <c r="E5" s="7"/>
      <c r="F5" s="7"/>
      <c r="G5" s="7"/>
    </row>
    <row r="6" spans="1:7" ht="35.1" customHeight="1" x14ac:dyDescent="0.25">
      <c r="A6" s="7">
        <v>4</v>
      </c>
      <c r="B6" s="7" t="s">
        <v>25</v>
      </c>
      <c r="C6" s="7" t="s">
        <v>26</v>
      </c>
      <c r="D6" s="7"/>
      <c r="E6" s="7"/>
      <c r="F6" s="7"/>
      <c r="G6" s="7"/>
    </row>
    <row r="7" spans="1:7" ht="35.1" customHeight="1" x14ac:dyDescent="0.25">
      <c r="A7" s="7">
        <v>5</v>
      </c>
      <c r="B7" s="7" t="s">
        <v>27</v>
      </c>
      <c r="C7" s="7" t="s">
        <v>28</v>
      </c>
      <c r="D7" s="7"/>
      <c r="E7" s="7"/>
      <c r="F7" s="7"/>
      <c r="G7" s="7"/>
    </row>
    <row r="8" spans="1:7" ht="35.1" customHeight="1" x14ac:dyDescent="0.25">
      <c r="A8" s="7">
        <v>6</v>
      </c>
      <c r="B8" s="7" t="s">
        <v>29</v>
      </c>
      <c r="C8" s="7" t="s">
        <v>30</v>
      </c>
      <c r="D8" s="7"/>
      <c r="E8" s="7"/>
      <c r="F8" s="7"/>
      <c r="G8" s="7"/>
    </row>
    <row r="9" spans="1:7" ht="35.1" customHeight="1" x14ac:dyDescent="0.25">
      <c r="A9" s="7">
        <v>7</v>
      </c>
      <c r="B9" s="7" t="s">
        <v>31</v>
      </c>
      <c r="C9" s="7" t="s">
        <v>32</v>
      </c>
      <c r="D9" s="7"/>
      <c r="E9" s="7"/>
      <c r="F9" s="7"/>
      <c r="G9" s="7"/>
    </row>
    <row r="10" spans="1:7" ht="35.1" customHeight="1" x14ac:dyDescent="0.25">
      <c r="A10" s="7">
        <v>8</v>
      </c>
      <c r="B10" s="7" t="s">
        <v>33</v>
      </c>
      <c r="C10" s="7" t="s">
        <v>34</v>
      </c>
      <c r="D10" s="7"/>
      <c r="E10" s="7"/>
      <c r="F10" s="7"/>
      <c r="G10" s="7"/>
    </row>
    <row r="11" spans="1:7" ht="35.1" customHeight="1" x14ac:dyDescent="0.25">
      <c r="A11" s="7">
        <v>9</v>
      </c>
      <c r="B11" s="7" t="s">
        <v>35</v>
      </c>
      <c r="C11" s="7" t="s">
        <v>36</v>
      </c>
      <c r="D11" s="7"/>
      <c r="E11" s="7"/>
      <c r="F11" s="7"/>
      <c r="G11" s="7"/>
    </row>
    <row r="12" spans="1:7" ht="35.1" customHeight="1" x14ac:dyDescent="0.25">
      <c r="A12" s="7">
        <v>10</v>
      </c>
      <c r="B12" s="7" t="s">
        <v>37</v>
      </c>
      <c r="C12" s="7" t="s">
        <v>38</v>
      </c>
      <c r="D12" s="7"/>
      <c r="E12" s="7"/>
      <c r="F12" s="7"/>
      <c r="G12" s="7"/>
    </row>
    <row r="13" spans="1:7" ht="35.1" customHeight="1" x14ac:dyDescent="0.25">
      <c r="A13" s="7">
        <v>11</v>
      </c>
      <c r="B13" s="7" t="s">
        <v>39</v>
      </c>
      <c r="C13" s="7" t="s">
        <v>40</v>
      </c>
      <c r="D13" s="7"/>
      <c r="E13" s="7"/>
      <c r="F13" s="7"/>
      <c r="G13" s="7"/>
    </row>
    <row r="14" spans="1:7" ht="35.1" customHeight="1" x14ac:dyDescent="0.25">
      <c r="A14" s="7">
        <v>12</v>
      </c>
      <c r="B14" s="7" t="s">
        <v>41</v>
      </c>
      <c r="C14" s="7" t="s">
        <v>42</v>
      </c>
      <c r="D14" s="7"/>
      <c r="E14" s="7"/>
      <c r="F14" s="7"/>
      <c r="G14" s="7"/>
    </row>
    <row r="15" spans="1:7" ht="35.1" customHeight="1" x14ac:dyDescent="0.25">
      <c r="A15" s="7">
        <v>13</v>
      </c>
      <c r="B15" s="7" t="s">
        <v>43</v>
      </c>
      <c r="C15" s="7" t="s">
        <v>44</v>
      </c>
      <c r="D15" s="7"/>
      <c r="E15" s="7"/>
      <c r="F15" s="7"/>
      <c r="G15" s="7"/>
    </row>
    <row r="16" spans="1:7" ht="35.1" customHeight="1" x14ac:dyDescent="0.25">
      <c r="A16" s="7">
        <v>14</v>
      </c>
      <c r="B16" s="7" t="s">
        <v>45</v>
      </c>
      <c r="C16" s="7" t="s">
        <v>46</v>
      </c>
      <c r="D16" s="7"/>
      <c r="E16" s="7"/>
      <c r="F16" s="7"/>
      <c r="G16" s="7"/>
    </row>
    <row r="17" spans="1:7" ht="35.1" customHeight="1" x14ac:dyDescent="0.25">
      <c r="A17" s="7">
        <v>15</v>
      </c>
      <c r="B17" s="7" t="s">
        <v>47</v>
      </c>
      <c r="C17" s="7" t="s">
        <v>48</v>
      </c>
      <c r="D17" s="7"/>
      <c r="E17" s="7"/>
      <c r="F17" s="7"/>
      <c r="G17" s="7"/>
    </row>
    <row r="18" spans="1:7" ht="21.95" customHeight="1" x14ac:dyDescent="0.25">
      <c r="A18" s="17" t="s">
        <v>49</v>
      </c>
      <c r="B18" s="13"/>
      <c r="C18" s="13"/>
      <c r="D18" s="13"/>
      <c r="E18" s="13"/>
      <c r="F18" s="13"/>
      <c r="G18" s="14"/>
    </row>
    <row r="19" spans="1:7" ht="35.1" customHeight="1" x14ac:dyDescent="0.25">
      <c r="A19" s="8">
        <v>16</v>
      </c>
      <c r="B19" s="8" t="s">
        <v>50</v>
      </c>
      <c r="C19" s="8" t="s">
        <v>51</v>
      </c>
      <c r="D19" s="8"/>
      <c r="E19" s="8"/>
      <c r="F19" s="8"/>
      <c r="G19" s="8"/>
    </row>
    <row r="20" spans="1:7" ht="35.1" customHeight="1" x14ac:dyDescent="0.25">
      <c r="A20" s="8">
        <v>17</v>
      </c>
      <c r="B20" s="8" t="s">
        <v>52</v>
      </c>
      <c r="C20" s="8" t="s">
        <v>53</v>
      </c>
      <c r="D20" s="8"/>
      <c r="E20" s="8"/>
      <c r="F20" s="8"/>
      <c r="G20" s="8"/>
    </row>
    <row r="21" spans="1:7" ht="35.1" customHeight="1" x14ac:dyDescent="0.25">
      <c r="A21" s="8">
        <v>18</v>
      </c>
      <c r="B21" s="8" t="s">
        <v>54</v>
      </c>
      <c r="C21" s="8" t="s">
        <v>55</v>
      </c>
      <c r="D21" s="8"/>
      <c r="E21" s="8"/>
      <c r="F21" s="8"/>
      <c r="G21" s="8"/>
    </row>
    <row r="22" spans="1:7" ht="35.1" customHeight="1" x14ac:dyDescent="0.25">
      <c r="A22" s="8">
        <v>19</v>
      </c>
      <c r="B22" s="8" t="s">
        <v>56</v>
      </c>
      <c r="C22" s="8" t="s">
        <v>57</v>
      </c>
      <c r="D22" s="8"/>
      <c r="E22" s="8"/>
      <c r="F22" s="8"/>
      <c r="G22" s="8"/>
    </row>
    <row r="23" spans="1:7" ht="35.1" customHeight="1" x14ac:dyDescent="0.25">
      <c r="A23" s="8">
        <v>20</v>
      </c>
      <c r="B23" s="8" t="s">
        <v>58</v>
      </c>
      <c r="C23" s="8" t="s">
        <v>59</v>
      </c>
      <c r="D23" s="8"/>
      <c r="E23" s="8"/>
      <c r="F23" s="8"/>
      <c r="G23" s="8"/>
    </row>
    <row r="24" spans="1:7" ht="35.1" customHeight="1" x14ac:dyDescent="0.25">
      <c r="A24" s="8">
        <v>21</v>
      </c>
      <c r="B24" s="8" t="s">
        <v>60</v>
      </c>
      <c r="C24" s="8" t="s">
        <v>61</v>
      </c>
      <c r="D24" s="8"/>
      <c r="E24" s="8"/>
      <c r="F24" s="8"/>
      <c r="G24" s="8"/>
    </row>
    <row r="25" spans="1:7" ht="35.1" customHeight="1" x14ac:dyDescent="0.25">
      <c r="A25" s="8">
        <v>22</v>
      </c>
      <c r="B25" s="8" t="s">
        <v>62</v>
      </c>
      <c r="C25" s="8" t="s">
        <v>63</v>
      </c>
      <c r="D25" s="8"/>
      <c r="E25" s="8"/>
      <c r="F25" s="8"/>
      <c r="G25" s="8"/>
    </row>
    <row r="26" spans="1:7" ht="35.1" customHeight="1" x14ac:dyDescent="0.25">
      <c r="A26" s="8">
        <v>23</v>
      </c>
      <c r="B26" s="8" t="s">
        <v>64</v>
      </c>
      <c r="C26" s="8" t="s">
        <v>65</v>
      </c>
      <c r="D26" s="8"/>
      <c r="E26" s="8"/>
      <c r="F26" s="8"/>
      <c r="G26" s="8"/>
    </row>
    <row r="27" spans="1:7" ht="21.95" customHeight="1" x14ac:dyDescent="0.25">
      <c r="A27" s="12" t="s">
        <v>66</v>
      </c>
      <c r="B27" s="13"/>
      <c r="C27" s="13"/>
      <c r="D27" s="13"/>
      <c r="E27" s="13"/>
      <c r="F27" s="13"/>
      <c r="G27" s="14"/>
    </row>
    <row r="28" spans="1:7" ht="35.1" customHeight="1" x14ac:dyDescent="0.25">
      <c r="A28" s="9">
        <v>24</v>
      </c>
      <c r="B28" s="9" t="s">
        <v>67</v>
      </c>
      <c r="C28" s="9" t="s">
        <v>68</v>
      </c>
      <c r="D28" s="9"/>
      <c r="E28" s="9"/>
      <c r="F28" s="9"/>
      <c r="G28" s="9"/>
    </row>
    <row r="29" spans="1:7" ht="35.1" customHeight="1" x14ac:dyDescent="0.25">
      <c r="A29" s="9">
        <v>25</v>
      </c>
      <c r="B29" s="9" t="s">
        <v>69</v>
      </c>
      <c r="C29" s="9" t="s">
        <v>70</v>
      </c>
      <c r="D29" s="9"/>
      <c r="E29" s="9"/>
      <c r="F29" s="9"/>
      <c r="G29" s="9"/>
    </row>
    <row r="30" spans="1:7" ht="35.1" customHeight="1" x14ac:dyDescent="0.25">
      <c r="A30" s="9">
        <v>26</v>
      </c>
      <c r="B30" s="9" t="s">
        <v>71</v>
      </c>
      <c r="C30" s="9" t="s">
        <v>72</v>
      </c>
      <c r="D30" s="9"/>
      <c r="E30" s="9"/>
      <c r="F30" s="9"/>
      <c r="G30" s="9"/>
    </row>
    <row r="31" spans="1:7" ht="35.1" customHeight="1" x14ac:dyDescent="0.25">
      <c r="A31" s="9">
        <v>27</v>
      </c>
      <c r="B31" s="9" t="s">
        <v>73</v>
      </c>
      <c r="C31" s="9" t="s">
        <v>74</v>
      </c>
      <c r="D31" s="9"/>
      <c r="E31" s="9"/>
      <c r="F31" s="9"/>
      <c r="G31" s="9"/>
    </row>
    <row r="32" spans="1:7" ht="35.1" customHeight="1" x14ac:dyDescent="0.25">
      <c r="A32" s="9">
        <v>28</v>
      </c>
      <c r="B32" s="9" t="s">
        <v>75</v>
      </c>
      <c r="C32" s="9" t="s">
        <v>76</v>
      </c>
      <c r="D32" s="9"/>
      <c r="E32" s="9"/>
      <c r="F32" s="9"/>
      <c r="G32" s="9"/>
    </row>
    <row r="33" spans="1:7" ht="35.1" customHeight="1" x14ac:dyDescent="0.25">
      <c r="A33" s="9">
        <v>29</v>
      </c>
      <c r="B33" s="9" t="s">
        <v>77</v>
      </c>
      <c r="C33" s="9" t="s">
        <v>78</v>
      </c>
      <c r="D33" s="9"/>
      <c r="E33" s="9"/>
      <c r="F33" s="9"/>
      <c r="G33" s="9"/>
    </row>
    <row r="34" spans="1:7" ht="21.95" customHeight="1" x14ac:dyDescent="0.25">
      <c r="A34" s="16" t="s">
        <v>79</v>
      </c>
      <c r="B34" s="13"/>
      <c r="C34" s="13"/>
      <c r="D34" s="13"/>
      <c r="E34" s="13"/>
      <c r="F34" s="13"/>
      <c r="G34" s="14"/>
    </row>
    <row r="35" spans="1:7" ht="35.1" customHeight="1" x14ac:dyDescent="0.25">
      <c r="A35" s="10">
        <v>30</v>
      </c>
      <c r="B35" s="10" t="s">
        <v>80</v>
      </c>
      <c r="C35" s="10" t="s">
        <v>81</v>
      </c>
      <c r="D35" s="10"/>
      <c r="E35" s="10"/>
      <c r="F35" s="10"/>
      <c r="G35" s="10"/>
    </row>
    <row r="36" spans="1:7" ht="35.1" customHeight="1" x14ac:dyDescent="0.25">
      <c r="A36" s="10">
        <v>31</v>
      </c>
      <c r="B36" s="10" t="s">
        <v>82</v>
      </c>
      <c r="C36" s="10" t="s">
        <v>83</v>
      </c>
      <c r="D36" s="10"/>
      <c r="E36" s="10"/>
      <c r="F36" s="10"/>
      <c r="G36" s="10"/>
    </row>
    <row r="37" spans="1:7" ht="35.1" customHeight="1" x14ac:dyDescent="0.25">
      <c r="A37" s="10">
        <v>32</v>
      </c>
      <c r="B37" s="10" t="s">
        <v>84</v>
      </c>
      <c r="C37" s="10" t="s">
        <v>85</v>
      </c>
      <c r="D37" s="10"/>
      <c r="E37" s="10"/>
      <c r="F37" s="10"/>
      <c r="G37" s="10"/>
    </row>
    <row r="38" spans="1:7" ht="35.1" customHeight="1" x14ac:dyDescent="0.25">
      <c r="A38" s="10">
        <v>33</v>
      </c>
      <c r="B38" s="10" t="s">
        <v>86</v>
      </c>
      <c r="C38" s="10" t="s">
        <v>87</v>
      </c>
      <c r="D38" s="10"/>
      <c r="E38" s="10"/>
      <c r="F38" s="10"/>
      <c r="G38" s="10"/>
    </row>
  </sheetData>
  <mergeCells count="4">
    <mergeCell ref="A27:G27"/>
    <mergeCell ref="A2:G2"/>
    <mergeCell ref="A34:G34"/>
    <mergeCell ref="A18:G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50" customWidth="1"/>
    <col min="4" max="4" width="18" customWidth="1"/>
    <col min="5" max="5" width="25" customWidth="1"/>
    <col min="6" max="7" width="18" customWidth="1"/>
  </cols>
  <sheetData>
    <row r="1" spans="1:7" ht="35.1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21.95" customHeight="1" x14ac:dyDescent="0.25">
      <c r="A2" s="15" t="s">
        <v>18</v>
      </c>
      <c r="B2" s="13"/>
      <c r="C2" s="13"/>
      <c r="D2" s="13"/>
      <c r="E2" s="13"/>
      <c r="F2" s="13"/>
      <c r="G2" s="14"/>
    </row>
    <row r="3" spans="1:7" ht="35.1" customHeight="1" x14ac:dyDescent="0.25">
      <c r="A3" s="7">
        <v>34</v>
      </c>
      <c r="B3" s="7" t="s">
        <v>88</v>
      </c>
      <c r="C3" s="7" t="s">
        <v>89</v>
      </c>
      <c r="D3" s="7"/>
      <c r="E3" s="7"/>
      <c r="F3" s="7"/>
      <c r="G3" s="7"/>
    </row>
    <row r="4" spans="1:7" ht="35.1" customHeight="1" x14ac:dyDescent="0.25">
      <c r="A4" s="7">
        <v>35</v>
      </c>
      <c r="B4" s="7" t="s">
        <v>90</v>
      </c>
      <c r="C4" s="7" t="s">
        <v>91</v>
      </c>
      <c r="D4" s="7"/>
      <c r="E4" s="7"/>
      <c r="F4" s="7"/>
      <c r="G4" s="7"/>
    </row>
    <row r="5" spans="1:7" ht="35.1" customHeight="1" x14ac:dyDescent="0.25">
      <c r="A5" s="7">
        <v>36</v>
      </c>
      <c r="B5" s="7" t="s">
        <v>92</v>
      </c>
      <c r="C5" s="7" t="s">
        <v>93</v>
      </c>
      <c r="D5" s="7"/>
      <c r="E5" s="7"/>
      <c r="F5" s="7"/>
      <c r="G5" s="7"/>
    </row>
    <row r="6" spans="1:7" ht="35.1" customHeight="1" x14ac:dyDescent="0.25">
      <c r="A6" s="7">
        <v>37</v>
      </c>
      <c r="B6" s="7" t="s">
        <v>94</v>
      </c>
      <c r="C6" s="7" t="s">
        <v>95</v>
      </c>
      <c r="D6" s="7"/>
      <c r="E6" s="7"/>
      <c r="F6" s="7"/>
      <c r="G6" s="7"/>
    </row>
    <row r="7" spans="1:7" ht="35.1" customHeight="1" x14ac:dyDescent="0.25">
      <c r="A7" s="7">
        <v>38</v>
      </c>
      <c r="B7" s="7" t="s">
        <v>96</v>
      </c>
      <c r="C7" s="7" t="s">
        <v>97</v>
      </c>
      <c r="D7" s="7"/>
      <c r="E7" s="7"/>
      <c r="F7" s="7"/>
      <c r="G7" s="7"/>
    </row>
    <row r="8" spans="1:7" ht="35.1" customHeight="1" x14ac:dyDescent="0.25">
      <c r="A8" s="7">
        <v>39</v>
      </c>
      <c r="B8" s="7" t="s">
        <v>98</v>
      </c>
      <c r="C8" s="7" t="s">
        <v>99</v>
      </c>
      <c r="D8" s="7"/>
      <c r="E8" s="7"/>
      <c r="F8" s="7"/>
      <c r="G8" s="7"/>
    </row>
    <row r="9" spans="1:7" ht="35.1" customHeight="1" x14ac:dyDescent="0.25">
      <c r="A9" s="7">
        <v>40</v>
      </c>
      <c r="B9" s="7" t="s">
        <v>100</v>
      </c>
      <c r="C9" s="7" t="s">
        <v>101</v>
      </c>
      <c r="D9" s="7"/>
      <c r="E9" s="7"/>
      <c r="F9" s="7"/>
      <c r="G9" s="7"/>
    </row>
    <row r="10" spans="1:7" ht="35.1" customHeight="1" x14ac:dyDescent="0.25">
      <c r="A10" s="7">
        <v>41</v>
      </c>
      <c r="B10" s="7" t="s">
        <v>102</v>
      </c>
      <c r="C10" s="7" t="s">
        <v>103</v>
      </c>
      <c r="D10" s="7"/>
      <c r="E10" s="7"/>
      <c r="F10" s="7"/>
      <c r="G10" s="7"/>
    </row>
    <row r="11" spans="1:7" ht="35.1" customHeight="1" x14ac:dyDescent="0.25">
      <c r="A11" s="7">
        <v>42</v>
      </c>
      <c r="B11" s="7" t="s">
        <v>104</v>
      </c>
      <c r="C11" s="7" t="s">
        <v>105</v>
      </c>
      <c r="D11" s="7"/>
      <c r="E11" s="7"/>
      <c r="F11" s="7"/>
      <c r="G11" s="7"/>
    </row>
    <row r="12" spans="1:7" ht="35.1" customHeight="1" x14ac:dyDescent="0.25">
      <c r="A12" s="7">
        <v>43</v>
      </c>
      <c r="B12" s="7" t="s">
        <v>106</v>
      </c>
      <c r="C12" s="7" t="s">
        <v>107</v>
      </c>
      <c r="D12" s="7"/>
      <c r="E12" s="7"/>
      <c r="F12" s="7"/>
      <c r="G12" s="7"/>
    </row>
    <row r="13" spans="1:7" ht="35.1" customHeight="1" x14ac:dyDescent="0.25">
      <c r="A13" s="7">
        <v>44</v>
      </c>
      <c r="B13" s="7" t="s">
        <v>108</v>
      </c>
      <c r="C13" s="7" t="s">
        <v>109</v>
      </c>
      <c r="D13" s="7"/>
      <c r="E13" s="7"/>
      <c r="F13" s="7"/>
      <c r="G13" s="7"/>
    </row>
    <row r="14" spans="1:7" ht="35.1" customHeight="1" x14ac:dyDescent="0.25">
      <c r="A14" s="7">
        <v>45</v>
      </c>
      <c r="B14" s="7" t="s">
        <v>110</v>
      </c>
      <c r="C14" s="7" t="s">
        <v>111</v>
      </c>
      <c r="D14" s="7"/>
      <c r="E14" s="7"/>
      <c r="F14" s="7"/>
      <c r="G14" s="7"/>
    </row>
    <row r="15" spans="1:7" ht="21.95" customHeight="1" x14ac:dyDescent="0.25">
      <c r="A15" s="17" t="s">
        <v>49</v>
      </c>
      <c r="B15" s="13"/>
      <c r="C15" s="13"/>
      <c r="D15" s="13"/>
      <c r="E15" s="13"/>
      <c r="F15" s="13"/>
      <c r="G15" s="14"/>
    </row>
    <row r="16" spans="1:7" ht="35.1" customHeight="1" x14ac:dyDescent="0.25">
      <c r="A16" s="8">
        <v>46</v>
      </c>
      <c r="B16" s="8" t="s">
        <v>112</v>
      </c>
      <c r="C16" s="8" t="s">
        <v>113</v>
      </c>
      <c r="D16" s="8"/>
      <c r="E16" s="8"/>
      <c r="F16" s="8"/>
      <c r="G16" s="8"/>
    </row>
    <row r="17" spans="1:7" ht="35.1" customHeight="1" x14ac:dyDescent="0.25">
      <c r="A17" s="8">
        <v>47</v>
      </c>
      <c r="B17" s="8" t="s">
        <v>114</v>
      </c>
      <c r="C17" s="8" t="s">
        <v>115</v>
      </c>
      <c r="D17" s="8"/>
      <c r="E17" s="8"/>
      <c r="F17" s="8"/>
      <c r="G17" s="8"/>
    </row>
    <row r="18" spans="1:7" ht="35.1" customHeight="1" x14ac:dyDescent="0.25">
      <c r="A18" s="8">
        <v>48</v>
      </c>
      <c r="B18" s="8" t="s">
        <v>116</v>
      </c>
      <c r="C18" s="8" t="s">
        <v>117</v>
      </c>
      <c r="D18" s="8"/>
      <c r="E18" s="8"/>
      <c r="F18" s="8"/>
      <c r="G18" s="8"/>
    </row>
    <row r="19" spans="1:7" ht="35.1" customHeight="1" x14ac:dyDescent="0.25">
      <c r="A19" s="8">
        <v>49</v>
      </c>
      <c r="B19" s="8" t="s">
        <v>118</v>
      </c>
      <c r="C19" s="8" t="s">
        <v>119</v>
      </c>
      <c r="D19" s="8"/>
      <c r="E19" s="8"/>
      <c r="F19" s="8"/>
      <c r="G19" s="8"/>
    </row>
    <row r="20" spans="1:7" ht="35.1" customHeight="1" x14ac:dyDescent="0.25">
      <c r="A20" s="8">
        <v>50</v>
      </c>
      <c r="B20" s="8" t="s">
        <v>120</v>
      </c>
      <c r="C20" s="8" t="s">
        <v>57</v>
      </c>
      <c r="D20" s="8"/>
      <c r="E20" s="8"/>
      <c r="F20" s="8"/>
      <c r="G20" s="8"/>
    </row>
    <row r="21" spans="1:7" ht="35.1" customHeight="1" x14ac:dyDescent="0.25">
      <c r="A21" s="8">
        <v>51</v>
      </c>
      <c r="B21" s="8" t="s">
        <v>121</v>
      </c>
      <c r="C21" s="8" t="s">
        <v>122</v>
      </c>
      <c r="D21" s="8"/>
      <c r="E21" s="8"/>
      <c r="F21" s="8"/>
      <c r="G21" s="8"/>
    </row>
    <row r="22" spans="1:7" ht="35.1" customHeight="1" x14ac:dyDescent="0.25">
      <c r="A22" s="8">
        <v>52</v>
      </c>
      <c r="B22" s="8" t="s">
        <v>123</v>
      </c>
      <c r="C22" s="8" t="s">
        <v>124</v>
      </c>
      <c r="D22" s="8"/>
      <c r="E22" s="8"/>
      <c r="F22" s="8"/>
      <c r="G22" s="8"/>
    </row>
    <row r="23" spans="1:7" ht="35.1" customHeight="1" x14ac:dyDescent="0.25">
      <c r="A23" s="8">
        <v>53</v>
      </c>
      <c r="B23" s="8" t="s">
        <v>125</v>
      </c>
      <c r="C23" s="8" t="s">
        <v>126</v>
      </c>
      <c r="D23" s="8"/>
      <c r="E23" s="8"/>
      <c r="F23" s="8"/>
      <c r="G23" s="8"/>
    </row>
    <row r="24" spans="1:7" ht="21.95" customHeight="1" x14ac:dyDescent="0.25">
      <c r="A24" s="12" t="s">
        <v>66</v>
      </c>
      <c r="B24" s="13"/>
      <c r="C24" s="13"/>
      <c r="D24" s="13"/>
      <c r="E24" s="13"/>
      <c r="F24" s="13"/>
      <c r="G24" s="14"/>
    </row>
    <row r="25" spans="1:7" ht="35.1" customHeight="1" x14ac:dyDescent="0.25">
      <c r="A25" s="9">
        <v>54</v>
      </c>
      <c r="B25" s="9" t="s">
        <v>127</v>
      </c>
      <c r="C25" s="9" t="s">
        <v>128</v>
      </c>
      <c r="D25" s="9"/>
      <c r="E25" s="9"/>
      <c r="F25" s="9"/>
      <c r="G25" s="9"/>
    </row>
    <row r="26" spans="1:7" ht="35.1" customHeight="1" x14ac:dyDescent="0.25">
      <c r="A26" s="9">
        <v>55</v>
      </c>
      <c r="B26" s="9" t="s">
        <v>129</v>
      </c>
      <c r="C26" s="9" t="s">
        <v>130</v>
      </c>
      <c r="D26" s="9"/>
      <c r="E26" s="9"/>
      <c r="F26" s="9"/>
      <c r="G26" s="9"/>
    </row>
    <row r="27" spans="1:7" ht="35.1" customHeight="1" x14ac:dyDescent="0.25">
      <c r="A27" s="9">
        <v>56</v>
      </c>
      <c r="B27" s="9" t="s">
        <v>131</v>
      </c>
      <c r="C27" s="9" t="s">
        <v>132</v>
      </c>
      <c r="D27" s="9"/>
      <c r="E27" s="9"/>
      <c r="F27" s="9"/>
      <c r="G27" s="9"/>
    </row>
    <row r="28" spans="1:7" ht="35.1" customHeight="1" x14ac:dyDescent="0.25">
      <c r="A28" s="9">
        <v>57</v>
      </c>
      <c r="B28" s="9" t="s">
        <v>133</v>
      </c>
      <c r="C28" s="9" t="s">
        <v>134</v>
      </c>
      <c r="D28" s="9"/>
      <c r="E28" s="9"/>
      <c r="F28" s="9"/>
      <c r="G28" s="9"/>
    </row>
    <row r="29" spans="1:7" ht="35.1" customHeight="1" x14ac:dyDescent="0.25">
      <c r="A29" s="9">
        <v>58</v>
      </c>
      <c r="B29" s="9" t="s">
        <v>135</v>
      </c>
      <c r="C29" s="9" t="s">
        <v>136</v>
      </c>
      <c r="D29" s="9"/>
      <c r="E29" s="9"/>
      <c r="F29" s="9"/>
      <c r="G29" s="9"/>
    </row>
    <row r="30" spans="1:7" ht="35.1" customHeight="1" x14ac:dyDescent="0.25">
      <c r="A30" s="9">
        <v>59</v>
      </c>
      <c r="B30" s="9" t="s">
        <v>137</v>
      </c>
      <c r="C30" s="9" t="s">
        <v>138</v>
      </c>
      <c r="D30" s="9"/>
      <c r="E30" s="9"/>
      <c r="F30" s="9"/>
      <c r="G30" s="9"/>
    </row>
    <row r="31" spans="1:7" ht="35.1" customHeight="1" x14ac:dyDescent="0.25">
      <c r="A31" s="9">
        <v>60</v>
      </c>
      <c r="B31" s="9" t="s">
        <v>139</v>
      </c>
      <c r="C31" s="9" t="s">
        <v>140</v>
      </c>
      <c r="D31" s="9"/>
      <c r="E31" s="9"/>
      <c r="F31" s="9"/>
      <c r="G31" s="9"/>
    </row>
    <row r="32" spans="1:7" ht="35.1" customHeight="1" x14ac:dyDescent="0.25">
      <c r="A32" s="9">
        <v>61</v>
      </c>
      <c r="B32" s="9" t="s">
        <v>141</v>
      </c>
      <c r="C32" s="9" t="s">
        <v>142</v>
      </c>
      <c r="D32" s="9"/>
      <c r="E32" s="9"/>
      <c r="F32" s="9"/>
      <c r="G32" s="9"/>
    </row>
    <row r="33" spans="1:7" ht="21.95" customHeight="1" x14ac:dyDescent="0.25">
      <c r="A33" s="16" t="s">
        <v>79</v>
      </c>
      <c r="B33" s="13"/>
      <c r="C33" s="13"/>
      <c r="D33" s="13"/>
      <c r="E33" s="13"/>
      <c r="F33" s="13"/>
      <c r="G33" s="14"/>
    </row>
    <row r="34" spans="1:7" ht="35.1" customHeight="1" x14ac:dyDescent="0.25">
      <c r="A34" s="10">
        <v>62</v>
      </c>
      <c r="B34" s="10" t="s">
        <v>143</v>
      </c>
      <c r="C34" s="10" t="s">
        <v>144</v>
      </c>
      <c r="D34" s="10"/>
      <c r="E34" s="10"/>
      <c r="F34" s="10"/>
      <c r="G34" s="10"/>
    </row>
    <row r="35" spans="1:7" ht="35.1" customHeight="1" x14ac:dyDescent="0.25">
      <c r="A35" s="10">
        <v>63</v>
      </c>
      <c r="B35" s="10" t="s">
        <v>145</v>
      </c>
      <c r="C35" s="10" t="s">
        <v>83</v>
      </c>
      <c r="D35" s="10"/>
      <c r="E35" s="10"/>
      <c r="F35" s="10"/>
      <c r="G35" s="10"/>
    </row>
    <row r="36" spans="1:7" ht="35.1" customHeight="1" x14ac:dyDescent="0.25">
      <c r="A36" s="10">
        <v>64</v>
      </c>
      <c r="B36" s="10" t="s">
        <v>146</v>
      </c>
      <c r="C36" s="10" t="s">
        <v>147</v>
      </c>
      <c r="D36" s="10"/>
      <c r="E36" s="10"/>
      <c r="F36" s="10"/>
      <c r="G36" s="10"/>
    </row>
    <row r="37" spans="1:7" ht="35.1" customHeight="1" x14ac:dyDescent="0.25">
      <c r="A37" s="10">
        <v>65</v>
      </c>
      <c r="B37" s="10" t="s">
        <v>86</v>
      </c>
      <c r="C37" s="10" t="s">
        <v>87</v>
      </c>
      <c r="D37" s="10"/>
      <c r="E37" s="10"/>
      <c r="F37" s="10"/>
      <c r="G37" s="10"/>
    </row>
  </sheetData>
  <mergeCells count="4">
    <mergeCell ref="A33:G33"/>
    <mergeCell ref="A24:G24"/>
    <mergeCell ref="A2:G2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50" customWidth="1"/>
    <col min="4" max="4" width="18" customWidth="1"/>
    <col min="5" max="5" width="25" customWidth="1"/>
    <col min="6" max="7" width="18" customWidth="1"/>
  </cols>
  <sheetData>
    <row r="1" spans="1:7" ht="35.1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21.95" customHeight="1" x14ac:dyDescent="0.25">
      <c r="A2" s="15" t="s">
        <v>18</v>
      </c>
      <c r="B2" s="13"/>
      <c r="C2" s="13"/>
      <c r="D2" s="13"/>
      <c r="E2" s="13"/>
      <c r="F2" s="13"/>
      <c r="G2" s="14"/>
    </row>
    <row r="3" spans="1:7" ht="35.1" customHeight="1" x14ac:dyDescent="0.25">
      <c r="A3" s="7">
        <v>66</v>
      </c>
      <c r="B3" s="7" t="s">
        <v>148</v>
      </c>
      <c r="C3" s="7" t="s">
        <v>149</v>
      </c>
      <c r="D3" s="7"/>
      <c r="E3" s="7"/>
      <c r="F3" s="7"/>
      <c r="G3" s="7"/>
    </row>
    <row r="4" spans="1:7" ht="35.1" customHeight="1" x14ac:dyDescent="0.25">
      <c r="A4" s="7">
        <v>67</v>
      </c>
      <c r="B4" s="7" t="s">
        <v>150</v>
      </c>
      <c r="C4" s="7" t="s">
        <v>151</v>
      </c>
      <c r="D4" s="7"/>
      <c r="E4" s="7"/>
      <c r="F4" s="7"/>
      <c r="G4" s="7"/>
    </row>
    <row r="5" spans="1:7" ht="35.1" customHeight="1" x14ac:dyDescent="0.25">
      <c r="A5" s="7">
        <v>68</v>
      </c>
      <c r="B5" s="7" t="s">
        <v>152</v>
      </c>
      <c r="C5" s="7" t="s">
        <v>153</v>
      </c>
      <c r="D5" s="7"/>
      <c r="E5" s="7"/>
      <c r="F5" s="7"/>
      <c r="G5" s="7"/>
    </row>
    <row r="6" spans="1:7" ht="35.1" customHeight="1" x14ac:dyDescent="0.25">
      <c r="A6" s="7">
        <v>69</v>
      </c>
      <c r="B6" s="7" t="s">
        <v>154</v>
      </c>
      <c r="C6" s="7" t="s">
        <v>155</v>
      </c>
      <c r="D6" s="7"/>
      <c r="E6" s="7"/>
      <c r="F6" s="7"/>
      <c r="G6" s="7"/>
    </row>
    <row r="7" spans="1:7" ht="35.1" customHeight="1" x14ac:dyDescent="0.25">
      <c r="A7" s="7">
        <v>70</v>
      </c>
      <c r="B7" s="7" t="s">
        <v>156</v>
      </c>
      <c r="C7" s="7" t="s">
        <v>157</v>
      </c>
      <c r="D7" s="7"/>
      <c r="E7" s="7"/>
      <c r="F7" s="7"/>
      <c r="G7" s="7"/>
    </row>
    <row r="8" spans="1:7" ht="35.1" customHeight="1" x14ac:dyDescent="0.25">
      <c r="A8" s="7">
        <v>71</v>
      </c>
      <c r="B8" s="7" t="s">
        <v>158</v>
      </c>
      <c r="C8" s="7" t="s">
        <v>159</v>
      </c>
      <c r="D8" s="7"/>
      <c r="E8" s="7"/>
      <c r="F8" s="7"/>
      <c r="G8" s="7"/>
    </row>
    <row r="9" spans="1:7" ht="35.1" customHeight="1" x14ac:dyDescent="0.25">
      <c r="A9" s="7">
        <v>72</v>
      </c>
      <c r="B9" s="7" t="s">
        <v>160</v>
      </c>
      <c r="C9" s="7" t="s">
        <v>161</v>
      </c>
      <c r="D9" s="7"/>
      <c r="E9" s="7"/>
      <c r="F9" s="7"/>
      <c r="G9" s="7"/>
    </row>
    <row r="10" spans="1:7" ht="35.1" customHeight="1" x14ac:dyDescent="0.25">
      <c r="A10" s="7">
        <v>73</v>
      </c>
      <c r="B10" s="7" t="s">
        <v>162</v>
      </c>
      <c r="C10" s="7" t="s">
        <v>163</v>
      </c>
      <c r="D10" s="7"/>
      <c r="E10" s="7"/>
      <c r="F10" s="7"/>
      <c r="G10" s="7"/>
    </row>
    <row r="11" spans="1:7" ht="21.95" customHeight="1" x14ac:dyDescent="0.25">
      <c r="A11" s="17" t="s">
        <v>49</v>
      </c>
      <c r="B11" s="13"/>
      <c r="C11" s="13"/>
      <c r="D11" s="13"/>
      <c r="E11" s="13"/>
      <c r="F11" s="13"/>
      <c r="G11" s="14"/>
    </row>
    <row r="12" spans="1:7" ht="35.1" customHeight="1" x14ac:dyDescent="0.25">
      <c r="A12" s="8">
        <v>74</v>
      </c>
      <c r="B12" s="8" t="s">
        <v>164</v>
      </c>
      <c r="C12" s="8" t="s">
        <v>165</v>
      </c>
      <c r="D12" s="8"/>
      <c r="E12" s="8"/>
      <c r="F12" s="8"/>
      <c r="G12" s="8"/>
    </row>
    <row r="13" spans="1:7" ht="35.1" customHeight="1" x14ac:dyDescent="0.25">
      <c r="A13" s="8">
        <v>75</v>
      </c>
      <c r="B13" s="8" t="s">
        <v>166</v>
      </c>
      <c r="C13" s="8" t="s">
        <v>167</v>
      </c>
      <c r="D13" s="8"/>
      <c r="E13" s="8"/>
      <c r="F13" s="8"/>
      <c r="G13" s="8"/>
    </row>
    <row r="14" spans="1:7" ht="35.1" customHeight="1" x14ac:dyDescent="0.25">
      <c r="A14" s="8">
        <v>76</v>
      </c>
      <c r="B14" s="8" t="s">
        <v>168</v>
      </c>
      <c r="C14" s="8" t="s">
        <v>169</v>
      </c>
      <c r="D14" s="8"/>
      <c r="E14" s="8"/>
      <c r="F14" s="8"/>
      <c r="G14" s="8"/>
    </row>
    <row r="15" spans="1:7" ht="35.1" customHeight="1" x14ac:dyDescent="0.25">
      <c r="A15" s="8">
        <v>77</v>
      </c>
      <c r="B15" s="8" t="s">
        <v>170</v>
      </c>
      <c r="C15" s="8" t="s">
        <v>171</v>
      </c>
      <c r="D15" s="8"/>
      <c r="E15" s="8"/>
      <c r="F15" s="8"/>
      <c r="G15" s="8"/>
    </row>
    <row r="16" spans="1:7" ht="35.1" customHeight="1" x14ac:dyDescent="0.25">
      <c r="A16" s="8">
        <v>78</v>
      </c>
      <c r="B16" s="8" t="s">
        <v>172</v>
      </c>
      <c r="C16" s="8" t="s">
        <v>173</v>
      </c>
      <c r="D16" s="8"/>
      <c r="E16" s="8"/>
      <c r="F16" s="8"/>
      <c r="G16" s="8"/>
    </row>
    <row r="17" spans="1:7" ht="21.95" customHeight="1" x14ac:dyDescent="0.25">
      <c r="A17" s="12" t="s">
        <v>66</v>
      </c>
      <c r="B17" s="13"/>
      <c r="C17" s="13"/>
      <c r="D17" s="13"/>
      <c r="E17" s="13"/>
      <c r="F17" s="13"/>
      <c r="G17" s="14"/>
    </row>
    <row r="18" spans="1:7" ht="35.1" customHeight="1" x14ac:dyDescent="0.25">
      <c r="A18" s="9">
        <v>79</v>
      </c>
      <c r="B18" s="9" t="s">
        <v>174</v>
      </c>
      <c r="C18" s="9" t="s">
        <v>175</v>
      </c>
      <c r="D18" s="9"/>
      <c r="E18" s="9"/>
      <c r="F18" s="9"/>
      <c r="G18" s="9"/>
    </row>
    <row r="19" spans="1:7" ht="35.1" customHeight="1" x14ac:dyDescent="0.25">
      <c r="A19" s="9">
        <v>80</v>
      </c>
      <c r="B19" s="9" t="s">
        <v>176</v>
      </c>
      <c r="C19" s="9" t="s">
        <v>177</v>
      </c>
      <c r="D19" s="9"/>
      <c r="E19" s="9"/>
      <c r="F19" s="9"/>
      <c r="G19" s="9"/>
    </row>
    <row r="20" spans="1:7" ht="35.1" customHeight="1" x14ac:dyDescent="0.25">
      <c r="A20" s="9">
        <v>81</v>
      </c>
      <c r="B20" s="9" t="s">
        <v>178</v>
      </c>
      <c r="C20" s="9" t="s">
        <v>179</v>
      </c>
      <c r="D20" s="9"/>
      <c r="E20" s="9"/>
      <c r="F20" s="9"/>
      <c r="G20" s="9"/>
    </row>
    <row r="21" spans="1:7" ht="35.1" customHeight="1" x14ac:dyDescent="0.25">
      <c r="A21" s="9">
        <v>82</v>
      </c>
      <c r="B21" s="9" t="s">
        <v>180</v>
      </c>
      <c r="C21" s="9" t="s">
        <v>181</v>
      </c>
      <c r="D21" s="9"/>
      <c r="E21" s="9"/>
      <c r="F21" s="9"/>
      <c r="G21" s="9"/>
    </row>
    <row r="22" spans="1:7" ht="35.1" customHeight="1" x14ac:dyDescent="0.25">
      <c r="A22" s="9">
        <v>83</v>
      </c>
      <c r="B22" s="9" t="s">
        <v>182</v>
      </c>
      <c r="C22" s="9" t="s">
        <v>183</v>
      </c>
      <c r="D22" s="9"/>
      <c r="E22" s="9"/>
      <c r="F22" s="9"/>
      <c r="G22" s="9"/>
    </row>
    <row r="23" spans="1:7" ht="21.95" customHeight="1" x14ac:dyDescent="0.25">
      <c r="A23" s="16" t="s">
        <v>79</v>
      </c>
      <c r="B23" s="13"/>
      <c r="C23" s="13"/>
      <c r="D23" s="13"/>
      <c r="E23" s="13"/>
      <c r="F23" s="13"/>
      <c r="G23" s="14"/>
    </row>
    <row r="24" spans="1:7" ht="35.1" customHeight="1" x14ac:dyDescent="0.25">
      <c r="A24" s="10">
        <v>84</v>
      </c>
      <c r="B24" s="10" t="s">
        <v>184</v>
      </c>
      <c r="C24" s="10" t="s">
        <v>185</v>
      </c>
      <c r="D24" s="10"/>
      <c r="E24" s="10"/>
      <c r="F24" s="10"/>
      <c r="G24" s="10"/>
    </row>
    <row r="25" spans="1:7" ht="35.1" customHeight="1" x14ac:dyDescent="0.25">
      <c r="A25" s="10">
        <v>85</v>
      </c>
      <c r="B25" s="10" t="s">
        <v>186</v>
      </c>
      <c r="C25" s="10" t="s">
        <v>185</v>
      </c>
      <c r="D25" s="10"/>
      <c r="E25" s="10"/>
      <c r="F25" s="10"/>
      <c r="G25" s="10"/>
    </row>
    <row r="26" spans="1:7" ht="35.1" customHeight="1" x14ac:dyDescent="0.25">
      <c r="A26" s="10">
        <v>86</v>
      </c>
      <c r="B26" s="10" t="s">
        <v>187</v>
      </c>
      <c r="C26" s="10" t="s">
        <v>188</v>
      </c>
      <c r="D26" s="10"/>
      <c r="E26" s="10"/>
      <c r="F26" s="10"/>
      <c r="G26" s="10"/>
    </row>
    <row r="27" spans="1:7" ht="21.95" customHeight="1" x14ac:dyDescent="0.25">
      <c r="A27" s="18" t="s">
        <v>189</v>
      </c>
      <c r="B27" s="13"/>
      <c r="C27" s="13"/>
      <c r="D27" s="13"/>
      <c r="E27" s="13"/>
      <c r="F27" s="13"/>
      <c r="G27" s="14"/>
    </row>
    <row r="28" spans="1:7" ht="35.1" customHeight="1" x14ac:dyDescent="0.25">
      <c r="A28" s="11">
        <v>87</v>
      </c>
      <c r="B28" s="11" t="s">
        <v>190</v>
      </c>
      <c r="C28" s="11" t="s">
        <v>191</v>
      </c>
      <c r="D28" s="11"/>
      <c r="E28" s="11"/>
      <c r="F28" s="11"/>
      <c r="G28" s="11"/>
    </row>
    <row r="29" spans="1:7" ht="35.1" customHeight="1" x14ac:dyDescent="0.25">
      <c r="A29" s="11">
        <v>88</v>
      </c>
      <c r="B29" s="11" t="s">
        <v>192</v>
      </c>
      <c r="C29" s="11" t="s">
        <v>193</v>
      </c>
      <c r="D29" s="11"/>
      <c r="E29" s="11"/>
      <c r="F29" s="11"/>
      <c r="G29" s="11"/>
    </row>
    <row r="30" spans="1:7" ht="35.1" customHeight="1" x14ac:dyDescent="0.25">
      <c r="A30" s="11">
        <v>89</v>
      </c>
      <c r="B30" s="11" t="s">
        <v>194</v>
      </c>
      <c r="C30" s="11" t="s">
        <v>173</v>
      </c>
      <c r="D30" s="11"/>
      <c r="E30" s="11"/>
      <c r="F30" s="11"/>
      <c r="G30" s="11"/>
    </row>
  </sheetData>
  <mergeCells count="5">
    <mergeCell ref="A17:G17"/>
    <mergeCell ref="A27:G27"/>
    <mergeCell ref="A2:G2"/>
    <mergeCell ref="A11:G11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8"/>
  <sheetViews>
    <sheetView workbookViewId="0">
      <pane ySplit="1" topLeftCell="A19" activePane="bottomLeft" state="frozen"/>
      <selection pane="bottomLeft"/>
    </sheetView>
  </sheetViews>
  <sheetFormatPr defaultRowHeight="15" x14ac:dyDescent="0.25"/>
  <cols>
    <col min="1" max="1" width="10" customWidth="1"/>
    <col min="2" max="3" width="50" customWidth="1"/>
    <col min="4" max="4" width="18" customWidth="1"/>
    <col min="5" max="5" width="25" customWidth="1"/>
    <col min="6" max="7" width="18" customWidth="1"/>
  </cols>
  <sheetData>
    <row r="1" spans="1:7" ht="35.1" customHeigh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21.95" customHeight="1" x14ac:dyDescent="0.25">
      <c r="A2" s="15" t="s">
        <v>18</v>
      </c>
      <c r="B2" s="13"/>
      <c r="C2" s="13"/>
      <c r="D2" s="13"/>
      <c r="E2" s="13"/>
      <c r="F2" s="13"/>
      <c r="G2" s="14"/>
    </row>
    <row r="3" spans="1:7" ht="35.1" customHeight="1" x14ac:dyDescent="0.25">
      <c r="A3" s="7">
        <v>90</v>
      </c>
      <c r="B3" s="7" t="s">
        <v>195</v>
      </c>
      <c r="C3" s="7" t="s">
        <v>196</v>
      </c>
      <c r="D3" s="7"/>
      <c r="E3" s="7"/>
      <c r="F3" s="7"/>
      <c r="G3" s="7"/>
    </row>
    <row r="4" spans="1:7" ht="35.1" customHeight="1" x14ac:dyDescent="0.25">
      <c r="A4" s="7">
        <v>91</v>
      </c>
      <c r="B4" s="7" t="s">
        <v>197</v>
      </c>
      <c r="C4" s="7" t="s">
        <v>198</v>
      </c>
      <c r="D4" s="7"/>
      <c r="E4" s="7"/>
      <c r="F4" s="7"/>
      <c r="G4" s="7"/>
    </row>
    <row r="5" spans="1:7" ht="35.1" customHeight="1" x14ac:dyDescent="0.25">
      <c r="A5" s="7">
        <v>92</v>
      </c>
      <c r="B5" s="7" t="s">
        <v>199</v>
      </c>
      <c r="C5" s="7" t="s">
        <v>200</v>
      </c>
      <c r="D5" s="7"/>
      <c r="E5" s="7"/>
      <c r="F5" s="7"/>
      <c r="G5" s="7"/>
    </row>
    <row r="6" spans="1:7" ht="35.1" customHeight="1" x14ac:dyDescent="0.25">
      <c r="A6" s="7">
        <v>93</v>
      </c>
      <c r="B6" s="7" t="s">
        <v>201</v>
      </c>
      <c r="C6" s="7" t="s">
        <v>202</v>
      </c>
      <c r="D6" s="7"/>
      <c r="E6" s="7"/>
      <c r="F6" s="7"/>
      <c r="G6" s="7"/>
    </row>
    <row r="7" spans="1:7" ht="35.1" customHeight="1" x14ac:dyDescent="0.25">
      <c r="A7" s="7">
        <v>94</v>
      </c>
      <c r="B7" s="7" t="s">
        <v>203</v>
      </c>
      <c r="C7" s="7" t="s">
        <v>204</v>
      </c>
      <c r="D7" s="7"/>
      <c r="E7" s="7"/>
      <c r="F7" s="7"/>
      <c r="G7" s="7"/>
    </row>
    <row r="8" spans="1:7" ht="35.1" customHeight="1" x14ac:dyDescent="0.25">
      <c r="A8" s="7">
        <v>95</v>
      </c>
      <c r="B8" s="7" t="s">
        <v>205</v>
      </c>
      <c r="C8" s="7" t="s">
        <v>206</v>
      </c>
      <c r="D8" s="7"/>
      <c r="E8" s="7"/>
      <c r="F8" s="7"/>
      <c r="G8" s="7"/>
    </row>
    <row r="9" spans="1:7" ht="35.1" customHeight="1" x14ac:dyDescent="0.25">
      <c r="A9" s="7">
        <v>96</v>
      </c>
      <c r="B9" s="7" t="s">
        <v>207</v>
      </c>
      <c r="C9" s="7" t="s">
        <v>208</v>
      </c>
      <c r="D9" s="7"/>
      <c r="E9" s="7"/>
      <c r="F9" s="7"/>
      <c r="G9" s="7"/>
    </row>
    <row r="10" spans="1:7" ht="35.1" customHeight="1" x14ac:dyDescent="0.25">
      <c r="A10" s="7">
        <v>97</v>
      </c>
      <c r="B10" s="7" t="s">
        <v>209</v>
      </c>
      <c r="C10" s="7" t="s">
        <v>210</v>
      </c>
      <c r="D10" s="7"/>
      <c r="E10" s="7"/>
      <c r="F10" s="7"/>
      <c r="G10" s="7"/>
    </row>
    <row r="11" spans="1:7" ht="35.1" customHeight="1" x14ac:dyDescent="0.25">
      <c r="A11" s="7">
        <v>98</v>
      </c>
      <c r="B11" s="7" t="s">
        <v>211</v>
      </c>
      <c r="C11" s="7" t="s">
        <v>212</v>
      </c>
      <c r="D11" s="7"/>
      <c r="E11" s="7"/>
      <c r="F11" s="7"/>
      <c r="G11" s="7"/>
    </row>
    <row r="12" spans="1:7" ht="35.1" customHeight="1" x14ac:dyDescent="0.25">
      <c r="A12" s="7">
        <v>99</v>
      </c>
      <c r="B12" s="7" t="s">
        <v>213</v>
      </c>
      <c r="C12" s="7" t="s">
        <v>214</v>
      </c>
      <c r="D12" s="7"/>
      <c r="E12" s="7"/>
      <c r="F12" s="7"/>
      <c r="G12" s="7"/>
    </row>
    <row r="13" spans="1:7" ht="35.1" customHeight="1" x14ac:dyDescent="0.25">
      <c r="A13" s="7">
        <v>100</v>
      </c>
      <c r="B13" s="7" t="s">
        <v>215</v>
      </c>
      <c r="C13" s="7" t="s">
        <v>216</v>
      </c>
      <c r="D13" s="7"/>
      <c r="E13" s="7"/>
      <c r="F13" s="7"/>
      <c r="G13" s="7"/>
    </row>
    <row r="14" spans="1:7" ht="35.1" customHeight="1" x14ac:dyDescent="0.25">
      <c r="A14" s="7">
        <v>101</v>
      </c>
      <c r="B14" s="7" t="s">
        <v>217</v>
      </c>
      <c r="C14" s="7" t="s">
        <v>218</v>
      </c>
      <c r="D14" s="7"/>
      <c r="E14" s="7"/>
      <c r="F14" s="7"/>
      <c r="G14" s="7"/>
    </row>
    <row r="15" spans="1:7" ht="21.95" customHeight="1" x14ac:dyDescent="0.25">
      <c r="A15" s="17" t="s">
        <v>49</v>
      </c>
      <c r="B15" s="13"/>
      <c r="C15" s="13"/>
      <c r="D15" s="13"/>
      <c r="E15" s="13"/>
      <c r="F15" s="13"/>
      <c r="G15" s="14"/>
    </row>
    <row r="16" spans="1:7" ht="35.1" customHeight="1" x14ac:dyDescent="0.25">
      <c r="A16" s="8">
        <v>102</v>
      </c>
      <c r="B16" s="8" t="s">
        <v>219</v>
      </c>
      <c r="C16" s="8" t="s">
        <v>220</v>
      </c>
      <c r="D16" s="8"/>
      <c r="E16" s="8"/>
      <c r="F16" s="8"/>
      <c r="G16" s="8"/>
    </row>
    <row r="17" spans="1:7" ht="35.1" customHeight="1" x14ac:dyDescent="0.25">
      <c r="A17" s="8">
        <v>103</v>
      </c>
      <c r="B17" s="8" t="s">
        <v>221</v>
      </c>
      <c r="C17" s="8" t="s">
        <v>222</v>
      </c>
      <c r="D17" s="8"/>
      <c r="E17" s="8"/>
      <c r="F17" s="8"/>
      <c r="G17" s="8"/>
    </row>
    <row r="18" spans="1:7" ht="35.1" customHeight="1" x14ac:dyDescent="0.25">
      <c r="A18" s="8">
        <v>104</v>
      </c>
      <c r="B18" s="8" t="s">
        <v>223</v>
      </c>
      <c r="C18" s="8" t="s">
        <v>224</v>
      </c>
      <c r="D18" s="8"/>
      <c r="E18" s="8"/>
      <c r="F18" s="8"/>
      <c r="G18" s="8"/>
    </row>
    <row r="19" spans="1:7" ht="35.1" customHeight="1" x14ac:dyDescent="0.25">
      <c r="A19" s="8">
        <v>105</v>
      </c>
      <c r="B19" s="8" t="s">
        <v>225</v>
      </c>
      <c r="C19" s="8" t="s">
        <v>119</v>
      </c>
      <c r="D19" s="8"/>
      <c r="E19" s="8"/>
      <c r="F19" s="8"/>
      <c r="G19" s="8"/>
    </row>
    <row r="20" spans="1:7" ht="35.1" customHeight="1" x14ac:dyDescent="0.25">
      <c r="A20" s="8">
        <v>106</v>
      </c>
      <c r="B20" s="8" t="s">
        <v>226</v>
      </c>
      <c r="C20" s="8" t="s">
        <v>57</v>
      </c>
      <c r="D20" s="8"/>
      <c r="E20" s="8"/>
      <c r="F20" s="8"/>
      <c r="G20" s="8"/>
    </row>
    <row r="21" spans="1:7" ht="35.1" customHeight="1" x14ac:dyDescent="0.25">
      <c r="A21" s="8">
        <v>107</v>
      </c>
      <c r="B21" s="8" t="s">
        <v>227</v>
      </c>
      <c r="C21" s="8" t="s">
        <v>228</v>
      </c>
      <c r="D21" s="8"/>
      <c r="E21" s="8"/>
      <c r="F21" s="8"/>
      <c r="G21" s="8"/>
    </row>
    <row r="22" spans="1:7" ht="35.1" customHeight="1" x14ac:dyDescent="0.25">
      <c r="A22" s="8">
        <v>108</v>
      </c>
      <c r="B22" s="8" t="s">
        <v>229</v>
      </c>
      <c r="C22" s="8" t="s">
        <v>230</v>
      </c>
      <c r="D22" s="8"/>
      <c r="E22" s="8"/>
      <c r="F22" s="8"/>
      <c r="G22" s="8"/>
    </row>
    <row r="23" spans="1:7" ht="35.1" customHeight="1" x14ac:dyDescent="0.25">
      <c r="A23" s="8">
        <v>109</v>
      </c>
      <c r="B23" s="8" t="s">
        <v>231</v>
      </c>
      <c r="C23" s="8" t="s">
        <v>232</v>
      </c>
      <c r="D23" s="8"/>
      <c r="E23" s="8"/>
      <c r="F23" s="8"/>
      <c r="G23" s="8"/>
    </row>
    <row r="24" spans="1:7" ht="21.95" customHeight="1" x14ac:dyDescent="0.25">
      <c r="A24" s="12" t="s">
        <v>66</v>
      </c>
      <c r="B24" s="13"/>
      <c r="C24" s="13"/>
      <c r="D24" s="13"/>
      <c r="E24" s="13"/>
      <c r="F24" s="13"/>
      <c r="G24" s="14"/>
    </row>
    <row r="25" spans="1:7" ht="35.1" customHeight="1" x14ac:dyDescent="0.25">
      <c r="A25" s="9">
        <v>110</v>
      </c>
      <c r="B25" s="9" t="s">
        <v>233</v>
      </c>
      <c r="C25" s="9" t="s">
        <v>234</v>
      </c>
      <c r="D25" s="9"/>
      <c r="E25" s="9"/>
      <c r="F25" s="9"/>
      <c r="G25" s="9"/>
    </row>
    <row r="26" spans="1:7" ht="35.1" customHeight="1" x14ac:dyDescent="0.25">
      <c r="A26" s="9">
        <v>111</v>
      </c>
      <c r="B26" s="9" t="s">
        <v>235</v>
      </c>
      <c r="C26" s="9" t="s">
        <v>236</v>
      </c>
      <c r="D26" s="9"/>
      <c r="E26" s="9"/>
      <c r="F26" s="9"/>
      <c r="G26" s="9"/>
    </row>
    <row r="27" spans="1:7" ht="35.1" customHeight="1" x14ac:dyDescent="0.25">
      <c r="A27" s="9">
        <v>112</v>
      </c>
      <c r="B27" s="9" t="s">
        <v>237</v>
      </c>
      <c r="C27" s="9" t="s">
        <v>238</v>
      </c>
      <c r="D27" s="9"/>
      <c r="E27" s="9"/>
      <c r="F27" s="9"/>
      <c r="G27" s="9"/>
    </row>
    <row r="28" spans="1:7" ht="35.1" customHeight="1" x14ac:dyDescent="0.25">
      <c r="A28" s="9">
        <v>113</v>
      </c>
      <c r="B28" s="9" t="s">
        <v>239</v>
      </c>
      <c r="C28" s="9" t="s">
        <v>240</v>
      </c>
      <c r="D28" s="9"/>
      <c r="E28" s="9"/>
      <c r="F28" s="9"/>
      <c r="G28" s="9"/>
    </row>
    <row r="29" spans="1:7" ht="35.1" customHeight="1" x14ac:dyDescent="0.25">
      <c r="A29" s="9">
        <v>114</v>
      </c>
      <c r="B29" s="9" t="s">
        <v>241</v>
      </c>
      <c r="C29" s="9" t="s">
        <v>242</v>
      </c>
      <c r="D29" s="9"/>
      <c r="E29" s="9"/>
      <c r="F29" s="9"/>
      <c r="G29" s="9"/>
    </row>
    <row r="30" spans="1:7" ht="35.1" customHeight="1" x14ac:dyDescent="0.25">
      <c r="A30" s="9">
        <v>115</v>
      </c>
      <c r="B30" s="9" t="s">
        <v>243</v>
      </c>
      <c r="C30" s="9" t="s">
        <v>244</v>
      </c>
      <c r="D30" s="9"/>
      <c r="E30" s="9"/>
      <c r="F30" s="9"/>
      <c r="G30" s="9"/>
    </row>
    <row r="31" spans="1:7" ht="21.95" customHeight="1" x14ac:dyDescent="0.25">
      <c r="A31" s="16" t="s">
        <v>79</v>
      </c>
      <c r="B31" s="13"/>
      <c r="C31" s="13"/>
      <c r="D31" s="13"/>
      <c r="E31" s="13"/>
      <c r="F31" s="13"/>
      <c r="G31" s="14"/>
    </row>
    <row r="32" spans="1:7" ht="35.1" customHeight="1" x14ac:dyDescent="0.25">
      <c r="A32" s="10">
        <v>116</v>
      </c>
      <c r="B32" s="10" t="s">
        <v>245</v>
      </c>
      <c r="C32" s="10" t="s">
        <v>246</v>
      </c>
      <c r="D32" s="10"/>
      <c r="E32" s="10"/>
      <c r="F32" s="10"/>
      <c r="G32" s="10"/>
    </row>
    <row r="33" spans="1:7" ht="35.1" customHeight="1" x14ac:dyDescent="0.25">
      <c r="A33" s="10">
        <v>117</v>
      </c>
      <c r="B33" s="10" t="s">
        <v>247</v>
      </c>
      <c r="C33" s="10" t="s">
        <v>248</v>
      </c>
      <c r="D33" s="10"/>
      <c r="E33" s="10"/>
      <c r="F33" s="10"/>
      <c r="G33" s="10"/>
    </row>
    <row r="34" spans="1:7" ht="35.1" customHeight="1" x14ac:dyDescent="0.25">
      <c r="A34" s="10">
        <v>118</v>
      </c>
      <c r="B34" s="10" t="s">
        <v>249</v>
      </c>
      <c r="C34" s="10" t="s">
        <v>250</v>
      </c>
      <c r="D34" s="10"/>
      <c r="E34" s="10"/>
      <c r="F34" s="10"/>
      <c r="G34" s="10"/>
    </row>
    <row r="35" spans="1:7" ht="21.95" customHeight="1" x14ac:dyDescent="0.25">
      <c r="A35" s="18" t="s">
        <v>189</v>
      </c>
      <c r="B35" s="13"/>
      <c r="C35" s="13"/>
      <c r="D35" s="13"/>
      <c r="E35" s="13"/>
      <c r="F35" s="13"/>
      <c r="G35" s="14"/>
    </row>
    <row r="36" spans="1:7" ht="35.1" customHeight="1" x14ac:dyDescent="0.25">
      <c r="A36" s="11">
        <v>119</v>
      </c>
      <c r="B36" s="11" t="s">
        <v>251</v>
      </c>
      <c r="C36" s="11" t="s">
        <v>252</v>
      </c>
      <c r="D36" s="11"/>
      <c r="E36" s="11"/>
      <c r="F36" s="11"/>
      <c r="G36" s="11"/>
    </row>
    <row r="37" spans="1:7" ht="35.1" customHeight="1" x14ac:dyDescent="0.25">
      <c r="A37" s="11">
        <v>120</v>
      </c>
      <c r="B37" s="11" t="s">
        <v>253</v>
      </c>
      <c r="C37" s="11" t="s">
        <v>254</v>
      </c>
      <c r="D37" s="11"/>
      <c r="E37" s="11"/>
      <c r="F37" s="11"/>
      <c r="G37" s="11"/>
    </row>
    <row r="38" spans="1:7" ht="35.1" customHeight="1" x14ac:dyDescent="0.25">
      <c r="A38" s="11">
        <v>121</v>
      </c>
      <c r="B38" s="11" t="s">
        <v>255</v>
      </c>
      <c r="C38" s="11" t="s">
        <v>256</v>
      </c>
      <c r="D38" s="11"/>
      <c r="E38" s="11"/>
      <c r="F38" s="11"/>
      <c r="G38" s="11"/>
    </row>
  </sheetData>
  <mergeCells count="5">
    <mergeCell ref="A31:G31"/>
    <mergeCell ref="A35:G35"/>
    <mergeCell ref="A24:G24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Bud Mode &amp; Blooming Flow</vt:lpstr>
      <vt:lpstr>Caterpillar Mode</vt:lpstr>
      <vt:lpstr>Transformation Flow</vt:lpstr>
      <vt:lpstr>Butterfly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Elden Zheng</cp:lastModifiedBy>
  <dcterms:created xsi:type="dcterms:W3CDTF">2026-06-09T07:29:48Z</dcterms:created>
  <dcterms:modified xsi:type="dcterms:W3CDTF">2026-06-09T07:32:21Z</dcterms:modified>
</cp:coreProperties>
</file>